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ksadmin\Documents\Knee_joint_loading_prediction\"/>
    </mc:Choice>
  </mc:AlternateContent>
  <xr:revisionPtr revIDLastSave="0" documentId="13_ncr:1_{A581362A-0FDE-489F-98CF-13D97EFC73CC}" xr6:coauthVersionLast="47" xr6:coauthVersionMax="47" xr10:uidLastSave="{00000000-0000-0000-0000-000000000000}"/>
  <bookViews>
    <workbookView xWindow="28680" yWindow="-120" windowWidth="29040" windowHeight="17640" xr2:uid="{00F12DBE-0A85-4A33-9D40-1988E07FE8F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 a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<sst xmlns="http://schemas.openxmlformats.org/spreadsheetml/2006/main" count="158" uniqueCount="59">
  <si>
    <t>ID</t>
  </si>
  <si>
    <t>M</t>
  </si>
  <si>
    <t>R</t>
  </si>
  <si>
    <t>F</t>
  </si>
  <si>
    <t>Age</t>
  </si>
  <si>
    <t>Gender</t>
  </si>
  <si>
    <t>Leg</t>
  </si>
  <si>
    <t>Height</t>
  </si>
  <si>
    <t>L</t>
  </si>
  <si>
    <t>Invalid_trials</t>
  </si>
  <si>
    <t>l_comf_02,l_slow_09</t>
  </si>
  <si>
    <t>l_comf_02,l_comf_05,l_comf_12,r_slow_01,r_slow_03,r_slow_12,l_fast_05</t>
  </si>
  <si>
    <t>l_comf_01,l_comf_09</t>
  </si>
  <si>
    <t>r_slow_08,l_fast_04</t>
  </si>
  <si>
    <t>r_comf_07,l_comf_04,l_comf_06,r_slow_04,r_fast_10</t>
  </si>
  <si>
    <t>r_fast_02</t>
  </si>
  <si>
    <t>r_fast_01</t>
  </si>
  <si>
    <t>l_comf_04,r_fast_09,l_fast_01,l_fast_02</t>
  </si>
  <si>
    <t>r_comf_02,l_comf_08,l_comf_09,l_fast_03</t>
  </si>
  <si>
    <t>l_comf_02</t>
  </si>
  <si>
    <t>r_comf_03,l_slow_01,l_slow_10</t>
  </si>
  <si>
    <t>r_comf_07,r_slow_08,l_slow_09,r_fast_04</t>
  </si>
  <si>
    <t>l_fast_07</t>
  </si>
  <si>
    <t>r_comf_01,r_comf_04,r_comf_06,r_comf_07,l_comf_08,r_slow_02,r_slow_04,r_slow_07,r_slow_09,r_slow_10,r_slow_15,r_slow_16,l_slow_01,l_slow_02,l_slow_05,l_slow_09,l_slow_10</t>
  </si>
  <si>
    <t>l_fast_01</t>
  </si>
  <si>
    <t>r_slow_01</t>
  </si>
  <si>
    <t>l_comf_01,l_slow_01,l_slow_02,r_fast_09</t>
  </si>
  <si>
    <t>IAD</t>
  </si>
  <si>
    <t>r_comf_03,r_comf_11,l_comf_08,r_slow_05,l_fast_04</t>
  </si>
  <si>
    <t>r_slow_08</t>
  </si>
  <si>
    <t>r_slow_02,r_slow_05,l_slow_01</t>
  </si>
  <si>
    <t>l_comf_07,r_slow_01,l_slow_01</t>
  </si>
  <si>
    <t>l_comf_01,l_slow_01,l_slow_03,l_slow_04</t>
  </si>
  <si>
    <t>r_slow_06,r_slow_08,r_slow_09,r_slow_10,l_slow_01,l_slow_02,l_fast_05,l_fast_07,l_fast_08,l_fast_09,l_fast_10</t>
  </si>
  <si>
    <t>r_comf_01,r_comf_02,l_comf_01,r_slow_06,r_fast_01,r_fast_02,l_fast_02,l_fast_09</t>
  </si>
  <si>
    <t>l_comf_09,l_comf_10,l_slow_08,l_slow_10</t>
  </si>
  <si>
    <t>r_comf_10,l_slow_10</t>
  </si>
  <si>
    <t>r_slow_06,l_slow_02,r_fast_07,l_fast_02</t>
  </si>
  <si>
    <t>r_comf_08,r_slow_02,l_slow_02,l_slow_03,l_slow_07,l_slow_10,l_fast_01,l_fast_04</t>
  </si>
  <si>
    <t>r_comf_02,r_comf_05,r_comf_10</t>
  </si>
  <si>
    <t>r_comf_06,l_comf_07</t>
  </si>
  <si>
    <t>r_slow_02,l_slow_04</t>
  </si>
  <si>
    <t>r_slow_10</t>
  </si>
  <si>
    <t>r_comf_05,r_fast_04</t>
  </si>
  <si>
    <t>r_comf_04,r_slow_06,r_slow_08,r_fast_02</t>
  </si>
  <si>
    <t>r_comf_08,r_slow_03,l_slow_08,l_fast_01</t>
  </si>
  <si>
    <t>r_fast_02,r_fast_04,r_fast_05</t>
  </si>
  <si>
    <t>Left_knee_width</t>
  </si>
  <si>
    <t>Right_knee_width</t>
  </si>
  <si>
    <t>Left_ankle_width</t>
  </si>
  <si>
    <t>Right_ankle_width</t>
  </si>
  <si>
    <t>Left_thigh_length</t>
  </si>
  <si>
    <t>Right_thigh_length</t>
  </si>
  <si>
    <t>Left_shank_length</t>
  </si>
  <si>
    <t>Right_shank_length</t>
  </si>
  <si>
    <t>Mass</t>
  </si>
  <si>
    <t>ICD</t>
  </si>
  <si>
    <t>Right_knee_width_mocap</t>
  </si>
  <si>
    <t>Left_knee_width_mocap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</si>
</sst>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ksadmin/Documents/MRI/IC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>
            <v>50.608215710000003</v>
          </cell>
          <cell r="C2">
            <v>46.737904999999998</v>
          </cell>
          <cell r="D2">
            <v>53.29582053</v>
          </cell>
          <cell r="E2">
            <v>52.999339020000001</v>
          </cell>
          <cell r="F2">
            <v>50.773179390000003</v>
          </cell>
          <cell r="G2">
            <v>51.147884120000001</v>
          </cell>
          <cell r="H2">
            <v>52.459016390000002</v>
          </cell>
          <cell r="I2">
            <v>44.664037309999998</v>
          </cell>
          <cell r="J2">
            <v>54.197069710000001</v>
          </cell>
          <cell r="K2">
            <v>43.22864637</v>
          </cell>
          <cell r="L2">
            <v>42.778007389999999</v>
          </cell>
          <cell r="M2">
            <v>48.379644720000002</v>
          </cell>
          <cell r="N2">
            <v>47.697838400000002</v>
          </cell>
          <cell r="O2">
            <v>46.423915129999997</v>
          </cell>
          <cell r="P2">
            <v>42.431840540000003</v>
          </cell>
          <cell r="Q2">
            <v>48.276131249999999</v>
          </cell>
          <cell r="R2">
            <v>49.687244460000002</v>
          </cell>
          <cell r="S2">
            <v>45.533824680000002</v>
          </cell>
          <cell r="T2">
            <v>43.977344719999998</v>
          </cell>
          <cell r="U2">
            <v>52.566932080000001</v>
          </cell>
          <cell r="V2">
            <v>46.499535680000001</v>
          </cell>
          <cell r="W2">
            <v>51.204071210000002</v>
          </cell>
          <cell r="X2">
            <v>44.702449739999999</v>
          </cell>
          <cell r="Y2">
            <v>48.08446661</v>
          </cell>
          <cell r="Z2">
            <v>52.42999262</v>
          </cell>
          <cell r="AA2">
            <v>51.813854259999999</v>
          </cell>
          <cell r="AB2">
            <v>46.414442770000001</v>
          </cell>
          <cell r="AC2">
            <v>48.451568510000001</v>
          </cell>
          <cell r="AD2">
            <v>46.018837050000002</v>
          </cell>
          <cell r="AE2">
            <v>48.591173380000001</v>
          </cell>
          <cell r="AF2">
            <v>50.897714290000003</v>
          </cell>
          <cell r="AG2">
            <v>48.832064699999997</v>
          </cell>
          <cell r="AH2">
            <v>42.526862000000001</v>
          </cell>
          <cell r="AI2">
            <v>51.407943680000002</v>
          </cell>
          <cell r="AJ2">
            <v>49.272171409999999</v>
          </cell>
          <cell r="AK2">
            <v>47.782761950000001</v>
          </cell>
          <cell r="AL2">
            <v>48.04389948</v>
          </cell>
          <cell r="AM2">
            <v>49.324490130000001</v>
          </cell>
          <cell r="AN2">
            <v>45.447671530000001</v>
          </cell>
          <cell r="AO2">
            <v>55.953349719999999</v>
          </cell>
          <cell r="AP2">
            <v>52.725903379999998</v>
          </cell>
          <cell r="AQ2">
            <v>43.619528690000003</v>
          </cell>
          <cell r="AR2">
            <v>51.155825589999999</v>
          </cell>
          <cell r="AS2">
            <v>44.339835720000004</v>
          </cell>
          <cell r="AT2">
            <v>44.627063010000001</v>
          </cell>
          <cell r="AU2">
            <v>45.608038809999996</v>
          </cell>
          <cell r="AV2">
            <v>42.207584779999998</v>
          </cell>
          <cell r="AW2">
            <v>46.601716680000003</v>
          </cell>
          <cell r="AX2">
            <v>47.345980490000002</v>
          </cell>
          <cell r="AY2">
            <v>50.4916476</v>
          </cell>
          <cell r="AZ2">
            <v>44.100548660000001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3B7C-8788-4293-8A67-2B1BD3C3ECB7}">
  <dimension ref="A1:S52"/>
  <sheetViews>
    <sheetView tabSelected="1" workbookViewId="0">
      <selection activeCell="U12" sqref="U12"/>
    </sheetView>
  </sheetViews>
  <sheetFormatPr defaultRowHeight="15" x14ac:dyDescent="0.25"/>
  <sheetData>
    <row r="1" spans="1:19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27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58</v>
      </c>
      <c r="S1" s="1" t="s">
        <v>57</v>
      </c>
    </row>
    <row r="2" spans="1:19" x14ac:dyDescent="0.25">
      <c r="A2">
        <v>1</v>
      </c>
      <c r="B2">
        <v>38</v>
      </c>
      <c r="C2" t="s">
        <v>1</v>
      </c>
      <c r="D2" t="s">
        <v>2</v>
      </c>
      <c r="E2">
        <v>175</v>
      </c>
      <c r="F2" t="s">
        <v>33</v>
      </c>
      <c r="G2">
        <v>243</v>
      </c>
      <c r="H2">
        <v>97</v>
      </c>
      <c r="I2">
        <v>98</v>
      </c>
      <c r="J2">
        <v>68</v>
      </c>
      <c r="K2">
        <v>67</v>
      </c>
      <c r="L2">
        <v>400</v>
      </c>
      <c r="M2">
        <v>390</v>
      </c>
      <c r="N2">
        <v>390</v>
      </c>
      <c r="O2">
        <v>390</v>
      </c>
      <c r="P2">
        <v>75.527861547542898</v>
      </c>
      <c r="Q2" cm="1">
        <f t="array" ref="Q2:Q52">TRANSPOSE([1]Sheet1!B2:AZ2)</f>
        <v>50.608215710000003</v>
      </c>
      <c r="R2">
        <v>-1</v>
      </c>
      <c r="S2">
        <v>-1</v>
      </c>
    </row>
    <row r="3" spans="1:19" x14ac:dyDescent="0.25">
      <c r="A3">
        <v>2</v>
      </c>
      <c r="B3">
        <v>38</v>
      </c>
      <c r="C3" t="s">
        <v>3</v>
      </c>
      <c r="D3" t="s">
        <v>2</v>
      </c>
      <c r="E3">
        <v>165</v>
      </c>
      <c r="F3" t="s">
        <v>34</v>
      </c>
      <c r="G3">
        <v>236</v>
      </c>
      <c r="H3">
        <v>96</v>
      </c>
      <c r="I3">
        <v>94</v>
      </c>
      <c r="J3">
        <v>61</v>
      </c>
      <c r="K3">
        <v>62</v>
      </c>
      <c r="L3">
        <v>377</v>
      </c>
      <c r="M3">
        <v>333</v>
      </c>
      <c r="N3">
        <v>380</v>
      </c>
      <c r="O3">
        <v>388</v>
      </c>
      <c r="P3">
        <v>75.216410190148395</v>
      </c>
      <c r="Q3">
        <v>46.737904999999998</v>
      </c>
      <c r="R3">
        <v>229.37076436163301</v>
      </c>
      <c r="S3">
        <v>240.12861045552299</v>
      </c>
    </row>
    <row r="4" spans="1:19" x14ac:dyDescent="0.25">
      <c r="A4">
        <v>3</v>
      </c>
      <c r="B4">
        <v>26</v>
      </c>
      <c r="C4" t="s">
        <v>1</v>
      </c>
      <c r="D4" t="s">
        <v>2</v>
      </c>
      <c r="E4">
        <v>180</v>
      </c>
      <c r="F4" t="s">
        <v>35</v>
      </c>
      <c r="G4">
        <v>225</v>
      </c>
      <c r="H4">
        <v>100</v>
      </c>
      <c r="I4">
        <v>98</v>
      </c>
      <c r="J4">
        <v>73</v>
      </c>
      <c r="K4">
        <v>74</v>
      </c>
      <c r="L4">
        <v>445</v>
      </c>
      <c r="M4">
        <v>427</v>
      </c>
      <c r="N4">
        <v>375</v>
      </c>
      <c r="O4">
        <v>370</v>
      </c>
      <c r="P4">
        <v>90.178596065609895</v>
      </c>
      <c r="Q4">
        <v>53.29582053</v>
      </c>
      <c r="R4">
        <v>208.85664250786701</v>
      </c>
      <c r="S4">
        <v>213.294884867332</v>
      </c>
    </row>
    <row r="5" spans="1:19" x14ac:dyDescent="0.25">
      <c r="A5">
        <v>4</v>
      </c>
      <c r="B5">
        <v>35</v>
      </c>
      <c r="C5" t="s">
        <v>1</v>
      </c>
      <c r="D5" t="s">
        <v>2</v>
      </c>
      <c r="E5">
        <v>183.5</v>
      </c>
      <c r="F5" t="s">
        <v>36</v>
      </c>
      <c r="G5">
        <v>238</v>
      </c>
      <c r="H5">
        <v>95</v>
      </c>
      <c r="I5">
        <v>92</v>
      </c>
      <c r="J5">
        <v>75</v>
      </c>
      <c r="K5">
        <v>73</v>
      </c>
      <c r="L5">
        <v>425</v>
      </c>
      <c r="M5">
        <v>432</v>
      </c>
      <c r="N5">
        <v>451</v>
      </c>
      <c r="O5">
        <v>451</v>
      </c>
      <c r="P5">
        <v>68.752980738810905</v>
      </c>
      <c r="Q5">
        <v>52.999339020000001</v>
      </c>
      <c r="R5">
        <v>216.282221941887</v>
      </c>
      <c r="S5">
        <v>199.87200262338499</v>
      </c>
    </row>
    <row r="6" spans="1:19" x14ac:dyDescent="0.25">
      <c r="A6">
        <v>5</v>
      </c>
      <c r="B6">
        <v>23</v>
      </c>
      <c r="C6" t="s">
        <v>1</v>
      </c>
      <c r="D6" t="s">
        <v>2</v>
      </c>
      <c r="E6">
        <v>182.6</v>
      </c>
      <c r="F6" t="s">
        <v>10</v>
      </c>
      <c r="G6">
        <v>225</v>
      </c>
      <c r="H6">
        <v>104</v>
      </c>
      <c r="I6">
        <v>102</v>
      </c>
      <c r="J6">
        <v>76</v>
      </c>
      <c r="K6">
        <v>76</v>
      </c>
      <c r="L6">
        <v>428</v>
      </c>
      <c r="M6">
        <v>436</v>
      </c>
      <c r="N6">
        <v>456</v>
      </c>
      <c r="O6">
        <v>447</v>
      </c>
      <c r="P6">
        <v>95.030180507290396</v>
      </c>
      <c r="Q6">
        <v>50.773179390000003</v>
      </c>
      <c r="R6">
        <v>220.97668187895499</v>
      </c>
      <c r="S6">
        <v>231.96096963262201</v>
      </c>
    </row>
    <row r="7" spans="1:19" x14ac:dyDescent="0.25">
      <c r="A7">
        <v>6</v>
      </c>
      <c r="B7">
        <v>24</v>
      </c>
      <c r="C7" t="s">
        <v>1</v>
      </c>
      <c r="D7" t="s">
        <v>2</v>
      </c>
      <c r="E7">
        <v>167.5</v>
      </c>
      <c r="F7" t="s">
        <v>11</v>
      </c>
      <c r="G7">
        <v>193</v>
      </c>
      <c r="H7">
        <v>94</v>
      </c>
      <c r="I7">
        <v>95</v>
      </c>
      <c r="J7">
        <v>72</v>
      </c>
      <c r="K7">
        <v>72</v>
      </c>
      <c r="L7">
        <v>380</v>
      </c>
      <c r="M7">
        <v>379</v>
      </c>
      <c r="N7">
        <v>383</v>
      </c>
      <c r="O7">
        <v>394</v>
      </c>
      <c r="P7">
        <v>70.554727693756206</v>
      </c>
      <c r="Q7">
        <v>51.147884120000001</v>
      </c>
      <c r="R7">
        <v>197.547254164067</v>
      </c>
      <c r="S7">
        <v>197.34730014938401</v>
      </c>
    </row>
    <row r="8" spans="1:19" x14ac:dyDescent="0.25">
      <c r="A8">
        <v>7</v>
      </c>
      <c r="B8">
        <v>25</v>
      </c>
      <c r="C8" t="s">
        <v>1</v>
      </c>
      <c r="D8" t="s">
        <v>2</v>
      </c>
      <c r="E8">
        <v>185.4</v>
      </c>
      <c r="F8" t="s">
        <v>12</v>
      </c>
      <c r="G8">
        <v>254</v>
      </c>
      <c r="H8">
        <v>103</v>
      </c>
      <c r="I8">
        <v>103</v>
      </c>
      <c r="J8">
        <v>76</v>
      </c>
      <c r="K8">
        <v>70</v>
      </c>
      <c r="L8">
        <v>423</v>
      </c>
      <c r="M8">
        <v>440</v>
      </c>
      <c r="N8">
        <v>446</v>
      </c>
      <c r="O8">
        <v>445</v>
      </c>
      <c r="P8">
        <v>90.784376337728006</v>
      </c>
      <c r="Q8">
        <v>52.459016390000002</v>
      </c>
      <c r="R8">
        <v>225.00474355333299</v>
      </c>
      <c r="S8">
        <v>238.00552752637</v>
      </c>
    </row>
    <row r="9" spans="1:19" x14ac:dyDescent="0.25">
      <c r="A9">
        <v>8</v>
      </c>
      <c r="B9">
        <v>28</v>
      </c>
      <c r="C9" t="s">
        <v>3</v>
      </c>
      <c r="D9" t="s">
        <v>2</v>
      </c>
      <c r="E9">
        <v>171.6</v>
      </c>
      <c r="G9">
        <v>245</v>
      </c>
      <c r="H9">
        <v>100</v>
      </c>
      <c r="I9">
        <v>105</v>
      </c>
      <c r="J9">
        <v>66</v>
      </c>
      <c r="K9">
        <v>66</v>
      </c>
      <c r="L9">
        <v>370</v>
      </c>
      <c r="M9">
        <v>413</v>
      </c>
      <c r="N9">
        <v>393</v>
      </c>
      <c r="O9">
        <v>409</v>
      </c>
      <c r="P9">
        <v>75.6063604141372</v>
      </c>
      <c r="Q9">
        <v>44.664037309999998</v>
      </c>
      <c r="R9">
        <v>240.164972687551</v>
      </c>
      <c r="S9">
        <v>250.89883873945701</v>
      </c>
    </row>
    <row r="10" spans="1:19" x14ac:dyDescent="0.25">
      <c r="A10">
        <v>9</v>
      </c>
      <c r="B10">
        <v>24</v>
      </c>
      <c r="C10" t="s">
        <v>1</v>
      </c>
      <c r="D10" t="s">
        <v>2</v>
      </c>
      <c r="E10">
        <v>188.8</v>
      </c>
      <c r="G10">
        <v>251</v>
      </c>
      <c r="H10">
        <v>94</v>
      </c>
      <c r="I10">
        <v>96</v>
      </c>
      <c r="J10">
        <v>78</v>
      </c>
      <c r="K10">
        <v>78</v>
      </c>
      <c r="L10">
        <v>447</v>
      </c>
      <c r="M10">
        <v>436</v>
      </c>
      <c r="N10">
        <v>450</v>
      </c>
      <c r="O10">
        <v>454</v>
      </c>
      <c r="P10">
        <v>76.357363880860305</v>
      </c>
      <c r="Q10">
        <v>54.197069710000001</v>
      </c>
      <c r="R10">
        <v>202.26567169094699</v>
      </c>
      <c r="S10">
        <v>197.37713714148899</v>
      </c>
    </row>
    <row r="11" spans="1:19" x14ac:dyDescent="0.25">
      <c r="A11">
        <v>10</v>
      </c>
      <c r="B11">
        <v>25</v>
      </c>
      <c r="C11" t="s">
        <v>1</v>
      </c>
      <c r="D11" t="s">
        <v>2</v>
      </c>
      <c r="E11">
        <v>170.5</v>
      </c>
      <c r="F11" t="s">
        <v>13</v>
      </c>
      <c r="G11">
        <v>226</v>
      </c>
      <c r="H11">
        <v>86</v>
      </c>
      <c r="I11">
        <v>85</v>
      </c>
      <c r="J11">
        <v>61</v>
      </c>
      <c r="K11">
        <v>61</v>
      </c>
      <c r="L11">
        <v>410</v>
      </c>
      <c r="M11">
        <v>411</v>
      </c>
      <c r="N11">
        <v>407</v>
      </c>
      <c r="O11">
        <v>406</v>
      </c>
      <c r="P11">
        <v>57.273416314576401</v>
      </c>
      <c r="Q11">
        <v>43.22864637</v>
      </c>
      <c r="R11">
        <v>188.81006414462601</v>
      </c>
      <c r="S11">
        <v>187.09650580680801</v>
      </c>
    </row>
    <row r="12" spans="1:19" x14ac:dyDescent="0.25">
      <c r="A12">
        <v>11</v>
      </c>
      <c r="B12">
        <v>28</v>
      </c>
      <c r="C12" t="s">
        <v>3</v>
      </c>
      <c r="D12" t="s">
        <v>2</v>
      </c>
      <c r="E12">
        <v>170.1</v>
      </c>
      <c r="F12" t="s">
        <v>14</v>
      </c>
      <c r="G12">
        <v>234</v>
      </c>
      <c r="H12">
        <v>92</v>
      </c>
      <c r="I12">
        <v>95</v>
      </c>
      <c r="J12">
        <v>60</v>
      </c>
      <c r="K12">
        <v>61</v>
      </c>
      <c r="L12">
        <v>424</v>
      </c>
      <c r="M12">
        <v>413</v>
      </c>
      <c r="N12">
        <v>409</v>
      </c>
      <c r="O12">
        <v>408</v>
      </c>
      <c r="P12">
        <v>68.838643739611896</v>
      </c>
      <c r="Q12">
        <v>42.778007389999999</v>
      </c>
      <c r="R12">
        <v>207.150436556084</v>
      </c>
      <c r="S12">
        <v>211.702569654169</v>
      </c>
    </row>
    <row r="13" spans="1:19" x14ac:dyDescent="0.25">
      <c r="A13">
        <v>12</v>
      </c>
      <c r="B13">
        <v>39</v>
      </c>
      <c r="C13" t="s">
        <v>1</v>
      </c>
      <c r="D13" t="s">
        <v>2</v>
      </c>
      <c r="E13">
        <v>185.6</v>
      </c>
      <c r="G13">
        <v>237</v>
      </c>
      <c r="H13">
        <v>97</v>
      </c>
      <c r="I13">
        <v>97</v>
      </c>
      <c r="J13">
        <v>73</v>
      </c>
      <c r="K13">
        <v>73</v>
      </c>
      <c r="L13">
        <v>445</v>
      </c>
      <c r="M13">
        <v>442</v>
      </c>
      <c r="N13">
        <v>451</v>
      </c>
      <c r="O13">
        <v>448</v>
      </c>
      <c r="P13">
        <v>89.765031280522606</v>
      </c>
      <c r="Q13">
        <v>48.379644720000002</v>
      </c>
      <c r="R13">
        <v>212.55604214530501</v>
      </c>
      <c r="S13">
        <v>212.10341404830501</v>
      </c>
    </row>
    <row r="14" spans="1:19" x14ac:dyDescent="0.25">
      <c r="A14">
        <v>13</v>
      </c>
      <c r="B14">
        <v>25</v>
      </c>
      <c r="C14" t="s">
        <v>3</v>
      </c>
      <c r="D14" t="s">
        <v>2</v>
      </c>
      <c r="E14">
        <v>178</v>
      </c>
      <c r="F14" t="s">
        <v>15</v>
      </c>
      <c r="G14">
        <v>233</v>
      </c>
      <c r="H14">
        <v>103</v>
      </c>
      <c r="I14">
        <v>102</v>
      </c>
      <c r="J14">
        <v>63</v>
      </c>
      <c r="K14">
        <v>64</v>
      </c>
      <c r="L14">
        <v>416</v>
      </c>
      <c r="M14">
        <v>430</v>
      </c>
      <c r="N14">
        <v>445</v>
      </c>
      <c r="O14">
        <v>443</v>
      </c>
      <c r="P14">
        <v>73.154918953797207</v>
      </c>
      <c r="Q14">
        <v>47.697838400000002</v>
      </c>
      <c r="R14">
        <v>240.16988832519999</v>
      </c>
      <c r="S14">
        <v>243.80775261143901</v>
      </c>
    </row>
    <row r="15" spans="1:19" x14ac:dyDescent="0.25">
      <c r="A15">
        <v>14</v>
      </c>
      <c r="B15">
        <v>38</v>
      </c>
      <c r="C15" t="s">
        <v>1</v>
      </c>
      <c r="D15" t="s">
        <v>2</v>
      </c>
      <c r="E15">
        <v>176.5</v>
      </c>
      <c r="F15" t="s">
        <v>16</v>
      </c>
      <c r="G15">
        <v>203</v>
      </c>
      <c r="H15">
        <v>99</v>
      </c>
      <c r="I15">
        <v>103</v>
      </c>
      <c r="J15">
        <v>75</v>
      </c>
      <c r="K15">
        <v>72</v>
      </c>
      <c r="L15">
        <v>401</v>
      </c>
      <c r="M15">
        <v>378</v>
      </c>
      <c r="N15">
        <v>417</v>
      </c>
      <c r="O15">
        <v>458</v>
      </c>
      <c r="P15">
        <v>94.315477454296001</v>
      </c>
      <c r="Q15">
        <v>46.423915129999997</v>
      </c>
      <c r="R15">
        <v>204.130514365968</v>
      </c>
      <c r="S15">
        <v>202.985091845326</v>
      </c>
    </row>
    <row r="16" spans="1:19" x14ac:dyDescent="0.25">
      <c r="A16">
        <v>15</v>
      </c>
      <c r="B16">
        <v>26</v>
      </c>
      <c r="C16" t="s">
        <v>3</v>
      </c>
      <c r="D16" t="s">
        <v>2</v>
      </c>
      <c r="E16">
        <v>166.7</v>
      </c>
      <c r="F16" t="s">
        <v>17</v>
      </c>
      <c r="G16">
        <v>235</v>
      </c>
      <c r="H16">
        <v>102</v>
      </c>
      <c r="I16">
        <v>103</v>
      </c>
      <c r="J16">
        <v>63</v>
      </c>
      <c r="K16">
        <v>62</v>
      </c>
      <c r="L16">
        <v>405</v>
      </c>
      <c r="M16">
        <v>405</v>
      </c>
      <c r="N16">
        <v>407</v>
      </c>
      <c r="O16">
        <v>416</v>
      </c>
      <c r="P16">
        <v>62.864201055909199</v>
      </c>
      <c r="Q16">
        <v>42.431840540000003</v>
      </c>
      <c r="R16">
        <v>238.69005475311499</v>
      </c>
      <c r="S16">
        <v>241.45547667100999</v>
      </c>
    </row>
    <row r="17" spans="1:19" x14ac:dyDescent="0.25">
      <c r="A17">
        <v>16</v>
      </c>
      <c r="B17">
        <v>45</v>
      </c>
      <c r="C17" t="s">
        <v>3</v>
      </c>
      <c r="D17" t="s">
        <v>2</v>
      </c>
      <c r="E17">
        <v>174</v>
      </c>
      <c r="F17" t="s">
        <v>18</v>
      </c>
      <c r="G17">
        <v>231</v>
      </c>
      <c r="H17">
        <v>93</v>
      </c>
      <c r="I17">
        <v>96</v>
      </c>
      <c r="J17">
        <v>65</v>
      </c>
      <c r="K17">
        <v>66</v>
      </c>
      <c r="L17">
        <v>400</v>
      </c>
      <c r="M17">
        <v>400</v>
      </c>
      <c r="N17">
        <v>413</v>
      </c>
      <c r="O17">
        <v>431</v>
      </c>
      <c r="P17">
        <v>70.474324955046299</v>
      </c>
      <c r="Q17">
        <v>48.276131249999999</v>
      </c>
      <c r="R17">
        <v>210.58966140195301</v>
      </c>
      <c r="S17">
        <v>204.78981371086201</v>
      </c>
    </row>
    <row r="18" spans="1:19" x14ac:dyDescent="0.25">
      <c r="A18">
        <v>17</v>
      </c>
      <c r="B18">
        <v>34</v>
      </c>
      <c r="C18" t="s">
        <v>1</v>
      </c>
      <c r="D18" t="s">
        <v>8</v>
      </c>
      <c r="E18">
        <v>185</v>
      </c>
      <c r="G18">
        <v>213</v>
      </c>
      <c r="H18">
        <v>100</v>
      </c>
      <c r="I18">
        <v>100</v>
      </c>
      <c r="J18">
        <v>75</v>
      </c>
      <c r="K18">
        <v>72</v>
      </c>
      <c r="L18">
        <v>449</v>
      </c>
      <c r="M18">
        <v>440</v>
      </c>
      <c r="N18">
        <v>440</v>
      </c>
      <c r="O18">
        <v>452</v>
      </c>
      <c r="P18">
        <v>81.187589890170202</v>
      </c>
      <c r="Q18">
        <v>49.687244460000002</v>
      </c>
      <c r="R18">
        <v>217.33831822527301</v>
      </c>
      <c r="S18">
        <v>224.353467617831</v>
      </c>
    </row>
    <row r="19" spans="1:19" x14ac:dyDescent="0.25">
      <c r="A19">
        <v>18</v>
      </c>
      <c r="B19">
        <v>23</v>
      </c>
      <c r="C19" t="s">
        <v>3</v>
      </c>
      <c r="D19" t="s">
        <v>2</v>
      </c>
      <c r="E19">
        <v>173.7</v>
      </c>
      <c r="F19" t="s">
        <v>19</v>
      </c>
      <c r="G19">
        <v>236</v>
      </c>
      <c r="H19">
        <v>97</v>
      </c>
      <c r="I19">
        <v>100</v>
      </c>
      <c r="J19">
        <v>70</v>
      </c>
      <c r="K19">
        <v>62</v>
      </c>
      <c r="L19">
        <v>385</v>
      </c>
      <c r="M19">
        <v>468</v>
      </c>
      <c r="N19">
        <v>438</v>
      </c>
      <c r="O19">
        <v>439</v>
      </c>
      <c r="P19">
        <v>73.292966162861603</v>
      </c>
      <c r="Q19">
        <v>45.533824680000002</v>
      </c>
      <c r="R19">
        <v>228.874806824068</v>
      </c>
      <c r="S19">
        <v>249.60423838112101</v>
      </c>
    </row>
    <row r="20" spans="1:19" x14ac:dyDescent="0.25">
      <c r="A20">
        <v>19</v>
      </c>
      <c r="B20">
        <v>25</v>
      </c>
      <c r="C20" t="s">
        <v>3</v>
      </c>
      <c r="D20" t="s">
        <v>2</v>
      </c>
      <c r="E20">
        <v>169</v>
      </c>
      <c r="G20">
        <v>231</v>
      </c>
      <c r="H20">
        <v>90</v>
      </c>
      <c r="I20">
        <v>91</v>
      </c>
      <c r="J20">
        <v>63</v>
      </c>
      <c r="K20">
        <v>65</v>
      </c>
      <c r="L20">
        <v>406</v>
      </c>
      <c r="M20">
        <v>410</v>
      </c>
      <c r="N20">
        <v>391</v>
      </c>
      <c r="O20">
        <v>409</v>
      </c>
      <c r="P20">
        <v>63.2347601966772</v>
      </c>
      <c r="Q20">
        <v>43.977344719999998</v>
      </c>
      <c r="R20">
        <v>213.353838990463</v>
      </c>
      <c r="S20">
        <v>205.91333037952199</v>
      </c>
    </row>
    <row r="21" spans="1:19" x14ac:dyDescent="0.25">
      <c r="A21">
        <v>20</v>
      </c>
      <c r="B21">
        <v>29</v>
      </c>
      <c r="C21" t="s">
        <v>1</v>
      </c>
      <c r="D21" t="s">
        <v>2</v>
      </c>
      <c r="E21">
        <v>177</v>
      </c>
      <c r="F21" t="s">
        <v>20</v>
      </c>
      <c r="G21">
        <v>220</v>
      </c>
      <c r="H21">
        <v>96</v>
      </c>
      <c r="I21">
        <v>103</v>
      </c>
      <c r="J21">
        <v>74</v>
      </c>
      <c r="K21">
        <v>74</v>
      </c>
      <c r="L21">
        <v>385</v>
      </c>
      <c r="M21">
        <v>363</v>
      </c>
      <c r="N21">
        <v>433</v>
      </c>
      <c r="O21">
        <v>425</v>
      </c>
      <c r="P21">
        <v>73.268840066888799</v>
      </c>
      <c r="Q21">
        <v>52.566932080000001</v>
      </c>
      <c r="R21">
        <v>218.59769159647101</v>
      </c>
      <c r="S21">
        <v>210.87324178737299</v>
      </c>
    </row>
    <row r="22" spans="1:19" x14ac:dyDescent="0.25">
      <c r="A22">
        <v>21</v>
      </c>
      <c r="B22">
        <v>25</v>
      </c>
      <c r="C22" t="s">
        <v>1</v>
      </c>
      <c r="D22" t="s">
        <v>2</v>
      </c>
      <c r="E22">
        <v>172.5</v>
      </c>
      <c r="G22">
        <v>225</v>
      </c>
      <c r="H22">
        <v>91</v>
      </c>
      <c r="I22">
        <v>92</v>
      </c>
      <c r="J22">
        <v>66</v>
      </c>
      <c r="K22">
        <v>67</v>
      </c>
      <c r="L22">
        <v>425</v>
      </c>
      <c r="M22">
        <v>412</v>
      </c>
      <c r="N22">
        <v>395</v>
      </c>
      <c r="O22">
        <v>414</v>
      </c>
      <c r="P22">
        <v>58.029067769687003</v>
      </c>
      <c r="Q22">
        <v>46.499535680000001</v>
      </c>
      <c r="R22">
        <v>202.984981444097</v>
      </c>
      <c r="S22">
        <v>207.217703104165</v>
      </c>
    </row>
    <row r="23" spans="1:19" x14ac:dyDescent="0.25">
      <c r="A23">
        <v>22</v>
      </c>
      <c r="B23">
        <v>21</v>
      </c>
      <c r="C23" t="s">
        <v>1</v>
      </c>
      <c r="D23" t="s">
        <v>2</v>
      </c>
      <c r="E23">
        <v>184.5</v>
      </c>
      <c r="F23" t="s">
        <v>21</v>
      </c>
      <c r="G23">
        <v>248</v>
      </c>
      <c r="H23">
        <v>113</v>
      </c>
      <c r="I23">
        <v>121</v>
      </c>
      <c r="J23">
        <v>74</v>
      </c>
      <c r="K23">
        <v>73</v>
      </c>
      <c r="L23">
        <v>377</v>
      </c>
      <c r="M23">
        <v>375</v>
      </c>
      <c r="N23">
        <v>498</v>
      </c>
      <c r="O23">
        <v>509</v>
      </c>
      <c r="P23">
        <v>85.818703009347004</v>
      </c>
      <c r="Q23">
        <v>51.204071210000002</v>
      </c>
      <c r="R23">
        <v>228.83467196119699</v>
      </c>
      <c r="S23">
        <v>230.494091495616</v>
      </c>
    </row>
    <row r="24" spans="1:19" x14ac:dyDescent="0.25">
      <c r="A24">
        <v>23</v>
      </c>
      <c r="B24">
        <v>25</v>
      </c>
      <c r="C24" t="s">
        <v>3</v>
      </c>
      <c r="D24" t="s">
        <v>2</v>
      </c>
      <c r="E24">
        <v>172.5</v>
      </c>
      <c r="F24" t="s">
        <v>22</v>
      </c>
      <c r="G24">
        <v>227</v>
      </c>
      <c r="H24">
        <v>106</v>
      </c>
      <c r="I24">
        <v>101</v>
      </c>
      <c r="J24">
        <v>62</v>
      </c>
      <c r="K24">
        <v>62</v>
      </c>
      <c r="L24">
        <v>394</v>
      </c>
      <c r="M24">
        <v>395</v>
      </c>
      <c r="N24">
        <v>441</v>
      </c>
      <c r="O24">
        <v>421</v>
      </c>
      <c r="P24">
        <v>76.065091739440305</v>
      </c>
      <c r="Q24">
        <v>44.702449739999999</v>
      </c>
      <c r="R24">
        <v>232.57397767977099</v>
      </c>
      <c r="S24">
        <v>235.45449796061101</v>
      </c>
    </row>
    <row r="25" spans="1:19" x14ac:dyDescent="0.25">
      <c r="A25">
        <v>24</v>
      </c>
      <c r="B25">
        <v>27</v>
      </c>
      <c r="C25" t="s">
        <v>1</v>
      </c>
      <c r="D25" t="s">
        <v>2</v>
      </c>
      <c r="E25">
        <v>173.5</v>
      </c>
      <c r="G25">
        <v>271</v>
      </c>
      <c r="H25">
        <v>99</v>
      </c>
      <c r="I25">
        <v>102</v>
      </c>
      <c r="J25">
        <v>71</v>
      </c>
      <c r="K25">
        <v>66</v>
      </c>
      <c r="L25">
        <v>381</v>
      </c>
      <c r="M25">
        <v>404</v>
      </c>
      <c r="N25">
        <v>401</v>
      </c>
      <c r="O25">
        <v>405</v>
      </c>
      <c r="P25">
        <v>84.500624785972605</v>
      </c>
      <c r="Q25">
        <v>48.08446661</v>
      </c>
      <c r="R25">
        <v>221.95620366185301</v>
      </c>
      <c r="S25">
        <v>213.62977810742299</v>
      </c>
    </row>
    <row r="26" spans="1:19" x14ac:dyDescent="0.25">
      <c r="A26">
        <v>25</v>
      </c>
      <c r="B26">
        <v>30</v>
      </c>
      <c r="C26" t="s">
        <v>1</v>
      </c>
      <c r="D26" t="s">
        <v>2</v>
      </c>
      <c r="E26">
        <v>178</v>
      </c>
      <c r="F26" t="s">
        <v>23</v>
      </c>
      <c r="G26">
        <v>212</v>
      </c>
      <c r="H26">
        <v>107</v>
      </c>
      <c r="I26">
        <v>102</v>
      </c>
      <c r="J26">
        <v>77</v>
      </c>
      <c r="K26">
        <v>77</v>
      </c>
      <c r="L26">
        <v>404</v>
      </c>
      <c r="M26">
        <v>407</v>
      </c>
      <c r="N26">
        <v>440</v>
      </c>
      <c r="O26">
        <v>424</v>
      </c>
      <c r="P26">
        <v>80.189139537331101</v>
      </c>
      <c r="Q26">
        <v>52.42999262</v>
      </c>
      <c r="R26">
        <v>227.35803514424401</v>
      </c>
      <c r="S26">
        <v>213.592714288981</v>
      </c>
    </row>
    <row r="27" spans="1:19" x14ac:dyDescent="0.25">
      <c r="A27">
        <v>26</v>
      </c>
      <c r="B27">
        <v>37</v>
      </c>
      <c r="C27" t="s">
        <v>1</v>
      </c>
      <c r="D27" t="s">
        <v>2</v>
      </c>
      <c r="E27">
        <v>175</v>
      </c>
      <c r="F27" t="s">
        <v>24</v>
      </c>
      <c r="G27">
        <v>252</v>
      </c>
      <c r="H27">
        <v>106</v>
      </c>
      <c r="I27">
        <v>105</v>
      </c>
      <c r="J27">
        <v>66</v>
      </c>
      <c r="K27">
        <v>71</v>
      </c>
      <c r="L27">
        <v>411</v>
      </c>
      <c r="M27">
        <v>415</v>
      </c>
      <c r="N27">
        <v>429</v>
      </c>
      <c r="O27">
        <v>433</v>
      </c>
      <c r="P27">
        <v>81.482945334893799</v>
      </c>
      <c r="Q27">
        <v>51.813854259999999</v>
      </c>
      <c r="R27">
        <v>238.19401622519001</v>
      </c>
      <c r="S27">
        <v>236.74948847493701</v>
      </c>
    </row>
    <row r="28" spans="1:19" x14ac:dyDescent="0.25">
      <c r="A28">
        <v>27</v>
      </c>
      <c r="B28">
        <v>42</v>
      </c>
      <c r="C28" t="s">
        <v>3</v>
      </c>
      <c r="D28" t="s">
        <v>2</v>
      </c>
      <c r="E28">
        <v>166.2</v>
      </c>
      <c r="F28" t="s">
        <v>25</v>
      </c>
      <c r="G28">
        <v>262</v>
      </c>
      <c r="H28">
        <v>99</v>
      </c>
      <c r="I28">
        <v>97</v>
      </c>
      <c r="J28">
        <v>63</v>
      </c>
      <c r="K28">
        <v>66</v>
      </c>
      <c r="L28">
        <v>384</v>
      </c>
      <c r="M28">
        <v>402</v>
      </c>
      <c r="N28">
        <v>396</v>
      </c>
      <c r="O28">
        <v>402</v>
      </c>
      <c r="P28">
        <v>62.231371023998598</v>
      </c>
      <c r="Q28">
        <v>46.414442770000001</v>
      </c>
      <c r="R28">
        <v>229.283192952039</v>
      </c>
      <c r="S28">
        <v>233.39668531712201</v>
      </c>
    </row>
    <row r="29" spans="1:19" x14ac:dyDescent="0.25">
      <c r="A29">
        <v>28</v>
      </c>
      <c r="B29">
        <v>27</v>
      </c>
      <c r="C29" t="s">
        <v>1</v>
      </c>
      <c r="D29" t="s">
        <v>2</v>
      </c>
      <c r="E29">
        <v>172.5</v>
      </c>
      <c r="G29">
        <v>241</v>
      </c>
      <c r="H29">
        <v>102</v>
      </c>
      <c r="I29">
        <v>102</v>
      </c>
      <c r="J29">
        <v>71</v>
      </c>
      <c r="K29">
        <v>71</v>
      </c>
      <c r="L29">
        <v>389</v>
      </c>
      <c r="M29">
        <v>390</v>
      </c>
      <c r="N29">
        <v>419</v>
      </c>
      <c r="O29">
        <v>418</v>
      </c>
      <c r="P29">
        <v>103.593135418738</v>
      </c>
      <c r="Q29">
        <v>48.451568510000001</v>
      </c>
      <c r="R29">
        <v>246.46216522939201</v>
      </c>
      <c r="S29">
        <v>248.30704792794401</v>
      </c>
    </row>
    <row r="30" spans="1:19" x14ac:dyDescent="0.25">
      <c r="A30">
        <v>29</v>
      </c>
      <c r="B30">
        <v>29</v>
      </c>
      <c r="C30" t="s">
        <v>1</v>
      </c>
      <c r="D30" t="s">
        <v>2</v>
      </c>
      <c r="E30">
        <v>170</v>
      </c>
      <c r="F30" t="s">
        <v>24</v>
      </c>
      <c r="G30">
        <v>231</v>
      </c>
      <c r="H30">
        <v>101</v>
      </c>
      <c r="I30">
        <v>102</v>
      </c>
      <c r="J30">
        <v>70</v>
      </c>
      <c r="K30">
        <v>71</v>
      </c>
      <c r="L30">
        <v>399</v>
      </c>
      <c r="M30">
        <v>335</v>
      </c>
      <c r="N30">
        <v>408</v>
      </c>
      <c r="O30">
        <v>406</v>
      </c>
      <c r="P30">
        <v>89.521141517738698</v>
      </c>
      <c r="Q30">
        <v>46.018837050000002</v>
      </c>
      <c r="R30">
        <v>231.07854797047801</v>
      </c>
      <c r="S30">
        <v>232.08442639741199</v>
      </c>
    </row>
    <row r="31" spans="1:19" x14ac:dyDescent="0.25">
      <c r="A31">
        <v>30</v>
      </c>
      <c r="B31">
        <v>27</v>
      </c>
      <c r="C31" t="s">
        <v>1</v>
      </c>
      <c r="D31" t="s">
        <v>2</v>
      </c>
      <c r="E31">
        <v>174.5</v>
      </c>
      <c r="F31" t="s">
        <v>26</v>
      </c>
      <c r="G31">
        <v>257</v>
      </c>
      <c r="H31">
        <v>100</v>
      </c>
      <c r="I31">
        <v>103</v>
      </c>
      <c r="J31">
        <v>71</v>
      </c>
      <c r="K31">
        <v>74</v>
      </c>
      <c r="L31">
        <v>388</v>
      </c>
      <c r="M31">
        <v>360</v>
      </c>
      <c r="N31">
        <v>419</v>
      </c>
      <c r="O31">
        <v>421</v>
      </c>
      <c r="P31">
        <v>68.862616007902801</v>
      </c>
      <c r="Q31">
        <v>48.591173380000001</v>
      </c>
      <c r="R31">
        <v>218.71318075298399</v>
      </c>
      <c r="S31">
        <v>223.85398951654099</v>
      </c>
    </row>
    <row r="32" spans="1:19" x14ac:dyDescent="0.25">
      <c r="A32">
        <v>31</v>
      </c>
      <c r="B32">
        <v>31</v>
      </c>
      <c r="C32" t="s">
        <v>1</v>
      </c>
      <c r="D32" t="s">
        <v>2</v>
      </c>
      <c r="E32">
        <v>183</v>
      </c>
      <c r="G32">
        <v>221</v>
      </c>
      <c r="H32">
        <v>105</v>
      </c>
      <c r="I32">
        <v>101</v>
      </c>
      <c r="J32">
        <v>72</v>
      </c>
      <c r="K32">
        <v>77</v>
      </c>
      <c r="L32">
        <v>430</v>
      </c>
      <c r="M32">
        <v>410</v>
      </c>
      <c r="N32">
        <v>450</v>
      </c>
      <c r="O32">
        <v>459</v>
      </c>
      <c r="P32">
        <v>80.579689644200002</v>
      </c>
      <c r="Q32">
        <v>50.897714290000003</v>
      </c>
      <c r="R32">
        <v>220.221393868554</v>
      </c>
      <c r="S32">
        <v>217.87764180289599</v>
      </c>
    </row>
    <row r="33" spans="1:19" x14ac:dyDescent="0.25">
      <c r="A33">
        <v>32</v>
      </c>
      <c r="B33">
        <v>26</v>
      </c>
      <c r="C33" t="s">
        <v>1</v>
      </c>
      <c r="D33" t="s">
        <v>2</v>
      </c>
      <c r="E33">
        <v>169</v>
      </c>
      <c r="F33" t="s">
        <v>28</v>
      </c>
      <c r="G33">
        <v>229</v>
      </c>
      <c r="H33">
        <v>101</v>
      </c>
      <c r="I33">
        <v>100</v>
      </c>
      <c r="J33">
        <v>71</v>
      </c>
      <c r="K33">
        <v>68</v>
      </c>
      <c r="L33">
        <v>370</v>
      </c>
      <c r="M33">
        <v>375</v>
      </c>
      <c r="N33">
        <v>409</v>
      </c>
      <c r="O33">
        <v>397</v>
      </c>
      <c r="P33">
        <v>68.146280219349904</v>
      </c>
      <c r="Q33">
        <v>48.832064699999997</v>
      </c>
      <c r="R33">
        <v>219.70465249587099</v>
      </c>
      <c r="S33">
        <v>224.125338359035</v>
      </c>
    </row>
    <row r="34" spans="1:19" x14ac:dyDescent="0.25">
      <c r="A34">
        <v>33</v>
      </c>
      <c r="B34">
        <v>28</v>
      </c>
      <c r="C34" t="s">
        <v>3</v>
      </c>
      <c r="D34" t="s">
        <v>2</v>
      </c>
      <c r="E34">
        <v>161</v>
      </c>
      <c r="F34" t="s">
        <v>29</v>
      </c>
      <c r="G34">
        <v>251</v>
      </c>
      <c r="H34">
        <v>100</v>
      </c>
      <c r="I34">
        <v>108</v>
      </c>
      <c r="J34">
        <v>64</v>
      </c>
      <c r="K34">
        <v>65</v>
      </c>
      <c r="L34">
        <v>350</v>
      </c>
      <c r="M34">
        <v>348</v>
      </c>
      <c r="N34">
        <v>400</v>
      </c>
      <c r="O34">
        <v>427</v>
      </c>
      <c r="P34">
        <v>76.350187907485605</v>
      </c>
      <c r="Q34">
        <v>42.526862000000001</v>
      </c>
      <c r="R34">
        <v>237.602819709333</v>
      </c>
      <c r="S34">
        <v>240.29563126444799</v>
      </c>
    </row>
    <row r="35" spans="1:19" x14ac:dyDescent="0.25">
      <c r="A35">
        <v>34</v>
      </c>
      <c r="B35">
        <v>31</v>
      </c>
      <c r="C35" t="s">
        <v>1</v>
      </c>
      <c r="D35" t="s">
        <v>2</v>
      </c>
      <c r="E35">
        <v>171.5</v>
      </c>
      <c r="G35">
        <v>247</v>
      </c>
      <c r="H35">
        <v>95</v>
      </c>
      <c r="I35">
        <v>99</v>
      </c>
      <c r="J35">
        <v>69</v>
      </c>
      <c r="K35">
        <v>65</v>
      </c>
      <c r="L35">
        <v>374</v>
      </c>
      <c r="M35">
        <v>387</v>
      </c>
      <c r="N35">
        <v>397</v>
      </c>
      <c r="O35">
        <v>404</v>
      </c>
      <c r="P35">
        <v>75.240691431495094</v>
      </c>
      <c r="Q35">
        <v>51.407943680000002</v>
      </c>
      <c r="R35">
        <v>199.74642823156699</v>
      </c>
      <c r="S35">
        <v>213.63274236857899</v>
      </c>
    </row>
    <row r="36" spans="1:19" x14ac:dyDescent="0.25">
      <c r="A36">
        <v>35</v>
      </c>
      <c r="B36">
        <v>33</v>
      </c>
      <c r="C36" t="s">
        <v>1</v>
      </c>
      <c r="D36" t="s">
        <v>2</v>
      </c>
      <c r="E36">
        <v>175.5</v>
      </c>
      <c r="F36" t="s">
        <v>30</v>
      </c>
      <c r="G36">
        <v>252</v>
      </c>
      <c r="H36">
        <v>101</v>
      </c>
      <c r="I36">
        <v>101</v>
      </c>
      <c r="J36">
        <v>71</v>
      </c>
      <c r="K36">
        <v>71</v>
      </c>
      <c r="L36">
        <v>414</v>
      </c>
      <c r="M36">
        <v>397</v>
      </c>
      <c r="N36">
        <v>424</v>
      </c>
      <c r="O36">
        <v>429</v>
      </c>
      <c r="P36">
        <v>84.462231629890397</v>
      </c>
      <c r="Q36">
        <v>49.272171409999999</v>
      </c>
      <c r="R36">
        <v>230.15875688756199</v>
      </c>
      <c r="S36">
        <v>231.54794508773301</v>
      </c>
    </row>
    <row r="37" spans="1:19" x14ac:dyDescent="0.25">
      <c r="A37">
        <v>36</v>
      </c>
      <c r="B37">
        <v>23</v>
      </c>
      <c r="C37" t="s">
        <v>1</v>
      </c>
      <c r="D37" t="s">
        <v>2</v>
      </c>
      <c r="E37">
        <v>169.6</v>
      </c>
      <c r="G37">
        <v>197</v>
      </c>
      <c r="H37">
        <v>91</v>
      </c>
      <c r="I37">
        <v>89</v>
      </c>
      <c r="J37">
        <v>73</v>
      </c>
      <c r="K37">
        <v>71</v>
      </c>
      <c r="L37">
        <v>380</v>
      </c>
      <c r="M37">
        <v>378</v>
      </c>
      <c r="N37">
        <v>402</v>
      </c>
      <c r="O37">
        <v>406</v>
      </c>
      <c r="P37">
        <v>54.140492711229903</v>
      </c>
      <c r="Q37">
        <v>47.782761950000001</v>
      </c>
      <c r="R37">
        <v>194.40001262473001</v>
      </c>
      <c r="S37">
        <v>190.14063766814201</v>
      </c>
    </row>
    <row r="38" spans="1:19" x14ac:dyDescent="0.25">
      <c r="A38">
        <v>37</v>
      </c>
      <c r="B38">
        <v>28</v>
      </c>
      <c r="C38" t="s">
        <v>1</v>
      </c>
      <c r="D38" t="s">
        <v>8</v>
      </c>
      <c r="E38">
        <v>186.6</v>
      </c>
      <c r="F38" t="s">
        <v>31</v>
      </c>
      <c r="G38">
        <v>236</v>
      </c>
      <c r="H38">
        <v>91</v>
      </c>
      <c r="I38">
        <v>92</v>
      </c>
      <c r="J38">
        <v>72</v>
      </c>
      <c r="K38">
        <v>70</v>
      </c>
      <c r="L38">
        <v>449</v>
      </c>
      <c r="M38">
        <v>443</v>
      </c>
      <c r="N38">
        <v>458</v>
      </c>
      <c r="O38">
        <v>461</v>
      </c>
      <c r="P38">
        <v>90.3777449015748</v>
      </c>
      <c r="Q38">
        <v>48.04389948</v>
      </c>
      <c r="R38">
        <v>200.596958472827</v>
      </c>
      <c r="S38">
        <v>200.095057314879</v>
      </c>
    </row>
    <row r="39" spans="1:19" x14ac:dyDescent="0.25">
      <c r="A39">
        <v>38</v>
      </c>
      <c r="B39">
        <v>26</v>
      </c>
      <c r="C39" t="s">
        <v>1</v>
      </c>
      <c r="D39" t="s">
        <v>2</v>
      </c>
      <c r="E39">
        <v>180.7</v>
      </c>
      <c r="G39">
        <v>237</v>
      </c>
      <c r="H39">
        <v>97</v>
      </c>
      <c r="I39">
        <v>96</v>
      </c>
      <c r="J39">
        <v>75</v>
      </c>
      <c r="K39">
        <v>75</v>
      </c>
      <c r="L39">
        <v>434</v>
      </c>
      <c r="M39">
        <v>424</v>
      </c>
      <c r="N39">
        <v>425</v>
      </c>
      <c r="O39">
        <v>442</v>
      </c>
      <c r="P39">
        <v>76.818976821680806</v>
      </c>
      <c r="Q39">
        <v>49.324490130000001</v>
      </c>
      <c r="R39">
        <v>200.83242032214801</v>
      </c>
      <c r="S39">
        <v>203.86423284575801</v>
      </c>
    </row>
    <row r="40" spans="1:19" x14ac:dyDescent="0.25">
      <c r="A40">
        <v>39</v>
      </c>
      <c r="B40">
        <v>21</v>
      </c>
      <c r="C40" t="s">
        <v>3</v>
      </c>
      <c r="D40" t="s">
        <v>2</v>
      </c>
      <c r="E40">
        <v>170</v>
      </c>
      <c r="F40" t="s">
        <v>32</v>
      </c>
      <c r="G40">
        <v>233</v>
      </c>
      <c r="H40">
        <v>91</v>
      </c>
      <c r="I40">
        <v>101</v>
      </c>
      <c r="J40">
        <v>65</v>
      </c>
      <c r="K40">
        <v>63</v>
      </c>
      <c r="L40">
        <v>426</v>
      </c>
      <c r="M40">
        <v>425</v>
      </c>
      <c r="N40">
        <v>420</v>
      </c>
      <c r="O40">
        <v>424</v>
      </c>
      <c r="P40">
        <v>63.023042292533198</v>
      </c>
      <c r="Q40">
        <v>45.447671530000001</v>
      </c>
      <c r="R40">
        <v>197.946922190462</v>
      </c>
      <c r="S40">
        <v>227.07715214359499</v>
      </c>
    </row>
    <row r="41" spans="1:19" x14ac:dyDescent="0.25">
      <c r="A41">
        <v>40</v>
      </c>
      <c r="B41">
        <v>28</v>
      </c>
      <c r="C41" t="s">
        <v>1</v>
      </c>
      <c r="D41" t="s">
        <v>2</v>
      </c>
      <c r="E41">
        <v>183.6</v>
      </c>
      <c r="G41">
        <v>285</v>
      </c>
      <c r="H41">
        <v>104</v>
      </c>
      <c r="I41">
        <v>109</v>
      </c>
      <c r="J41">
        <v>78</v>
      </c>
      <c r="K41">
        <v>74</v>
      </c>
      <c r="L41">
        <v>390</v>
      </c>
      <c r="M41">
        <v>390</v>
      </c>
      <c r="N41">
        <v>432</v>
      </c>
      <c r="O41">
        <v>450</v>
      </c>
      <c r="P41">
        <v>136.13657014312699</v>
      </c>
      <c r="Q41">
        <v>55.953349719999999</v>
      </c>
      <c r="R41">
        <v>223.26809663102199</v>
      </c>
      <c r="S41">
        <v>254.55258932939699</v>
      </c>
    </row>
    <row r="42" spans="1:19" x14ac:dyDescent="0.25">
      <c r="A42">
        <v>41</v>
      </c>
      <c r="B42">
        <v>28</v>
      </c>
      <c r="C42" t="s">
        <v>1</v>
      </c>
      <c r="D42" t="s">
        <v>2</v>
      </c>
      <c r="E42">
        <v>185.5</v>
      </c>
      <c r="G42">
        <v>237</v>
      </c>
      <c r="H42">
        <v>100</v>
      </c>
      <c r="I42">
        <v>101</v>
      </c>
      <c r="J42">
        <v>65</v>
      </c>
      <c r="K42">
        <v>69</v>
      </c>
      <c r="L42">
        <v>420</v>
      </c>
      <c r="M42">
        <v>418</v>
      </c>
      <c r="N42">
        <v>459</v>
      </c>
      <c r="O42">
        <v>464</v>
      </c>
      <c r="P42">
        <v>85.778406001692602</v>
      </c>
      <c r="Q42">
        <v>52.725903379999998</v>
      </c>
      <c r="R42">
        <v>201.92542965380301</v>
      </c>
      <c r="S42">
        <v>211.25094491933601</v>
      </c>
    </row>
    <row r="43" spans="1:19" x14ac:dyDescent="0.25">
      <c r="A43">
        <v>42</v>
      </c>
      <c r="B43">
        <v>20</v>
      </c>
      <c r="C43" t="s">
        <v>3</v>
      </c>
      <c r="D43" t="s">
        <v>2</v>
      </c>
      <c r="E43">
        <v>178</v>
      </c>
      <c r="F43" t="s">
        <v>37</v>
      </c>
      <c r="G43">
        <v>253</v>
      </c>
      <c r="H43">
        <v>101</v>
      </c>
      <c r="I43">
        <v>100</v>
      </c>
      <c r="J43">
        <v>69</v>
      </c>
      <c r="K43">
        <v>71</v>
      </c>
      <c r="L43">
        <v>440</v>
      </c>
      <c r="M43">
        <v>430</v>
      </c>
      <c r="N43">
        <v>446</v>
      </c>
      <c r="O43">
        <v>434</v>
      </c>
      <c r="P43">
        <v>79.409803278182807</v>
      </c>
      <c r="Q43">
        <v>43.619528690000003</v>
      </c>
      <c r="R43">
        <v>246.68753901651601</v>
      </c>
      <c r="S43">
        <v>228.94486312182599</v>
      </c>
    </row>
    <row r="44" spans="1:19" x14ac:dyDescent="0.25">
      <c r="A44">
        <v>43</v>
      </c>
      <c r="B44">
        <v>37</v>
      </c>
      <c r="C44" t="s">
        <v>1</v>
      </c>
      <c r="D44" t="s">
        <v>2</v>
      </c>
      <c r="E44">
        <v>179</v>
      </c>
      <c r="F44" t="s">
        <v>38</v>
      </c>
      <c r="G44">
        <v>232</v>
      </c>
      <c r="H44">
        <v>91</v>
      </c>
      <c r="I44">
        <v>92</v>
      </c>
      <c r="J44">
        <v>77</v>
      </c>
      <c r="K44">
        <v>74</v>
      </c>
      <c r="L44">
        <v>410</v>
      </c>
      <c r="M44">
        <v>386</v>
      </c>
      <c r="N44">
        <v>421</v>
      </c>
      <c r="O44">
        <v>439</v>
      </c>
      <c r="P44">
        <v>61.022674401557197</v>
      </c>
      <c r="Q44">
        <v>51.155825589999999</v>
      </c>
      <c r="R44">
        <v>196.023883316715</v>
      </c>
      <c r="S44">
        <v>190.61739366151701</v>
      </c>
    </row>
    <row r="45" spans="1:19" x14ac:dyDescent="0.25">
      <c r="A45">
        <v>44</v>
      </c>
      <c r="B45">
        <v>21</v>
      </c>
      <c r="C45" t="s">
        <v>3</v>
      </c>
      <c r="D45" t="s">
        <v>2</v>
      </c>
      <c r="E45">
        <v>164.5</v>
      </c>
      <c r="F45" t="s">
        <v>39</v>
      </c>
      <c r="G45">
        <v>231</v>
      </c>
      <c r="H45">
        <v>91</v>
      </c>
      <c r="I45">
        <v>89</v>
      </c>
      <c r="J45">
        <v>63</v>
      </c>
      <c r="K45">
        <v>65</v>
      </c>
      <c r="L45">
        <v>376</v>
      </c>
      <c r="M45">
        <v>374</v>
      </c>
      <c r="N45">
        <v>381</v>
      </c>
      <c r="O45">
        <v>376</v>
      </c>
      <c r="P45">
        <v>61.324277567479101</v>
      </c>
      <c r="Q45">
        <v>44.339835720000004</v>
      </c>
      <c r="R45">
        <v>213.00683325684</v>
      </c>
      <c r="S45">
        <v>217.61596922419301</v>
      </c>
    </row>
    <row r="46" spans="1:19" x14ac:dyDescent="0.25">
      <c r="A46">
        <v>45</v>
      </c>
      <c r="B46">
        <v>26</v>
      </c>
      <c r="C46" t="s">
        <v>3</v>
      </c>
      <c r="D46" t="s">
        <v>2</v>
      </c>
      <c r="E46">
        <v>163</v>
      </c>
      <c r="F46" t="s">
        <v>40</v>
      </c>
      <c r="G46">
        <v>259</v>
      </c>
      <c r="H46">
        <v>104</v>
      </c>
      <c r="I46">
        <v>101</v>
      </c>
      <c r="J46">
        <v>64</v>
      </c>
      <c r="K46">
        <v>61</v>
      </c>
      <c r="L46">
        <v>362</v>
      </c>
      <c r="M46">
        <v>378</v>
      </c>
      <c r="N46">
        <v>387</v>
      </c>
      <c r="O46">
        <v>383</v>
      </c>
      <c r="P46">
        <v>79.018618686461394</v>
      </c>
      <c r="Q46">
        <v>44.627063010000001</v>
      </c>
      <c r="R46">
        <v>233.40116181948</v>
      </c>
      <c r="S46">
        <v>243.82255587434099</v>
      </c>
    </row>
    <row r="47" spans="1:19" x14ac:dyDescent="0.25">
      <c r="A47">
        <v>46</v>
      </c>
      <c r="B47">
        <v>28</v>
      </c>
      <c r="C47" t="s">
        <v>3</v>
      </c>
      <c r="D47" t="s">
        <v>2</v>
      </c>
      <c r="E47">
        <v>165</v>
      </c>
      <c r="F47" t="s">
        <v>41</v>
      </c>
      <c r="G47">
        <v>254</v>
      </c>
      <c r="H47">
        <v>96</v>
      </c>
      <c r="I47">
        <v>98</v>
      </c>
      <c r="J47">
        <v>62</v>
      </c>
      <c r="K47">
        <v>61</v>
      </c>
      <c r="L47">
        <v>360</v>
      </c>
      <c r="M47">
        <v>362</v>
      </c>
      <c r="N47">
        <v>401</v>
      </c>
      <c r="O47">
        <v>403</v>
      </c>
      <c r="P47">
        <v>64.610276323420507</v>
      </c>
      <c r="Q47">
        <v>45.608038809999996</v>
      </c>
      <c r="R47">
        <v>217.33050972190799</v>
      </c>
      <c r="S47">
        <v>219.53350933083499</v>
      </c>
    </row>
    <row r="48" spans="1:19" x14ac:dyDescent="0.25">
      <c r="A48">
        <v>47</v>
      </c>
      <c r="B48">
        <v>30</v>
      </c>
      <c r="C48" t="s">
        <v>3</v>
      </c>
      <c r="D48" t="s">
        <v>2</v>
      </c>
      <c r="E48">
        <v>165.8</v>
      </c>
      <c r="F48" t="s">
        <v>42</v>
      </c>
      <c r="G48">
        <v>232</v>
      </c>
      <c r="H48">
        <v>100</v>
      </c>
      <c r="I48">
        <v>101</v>
      </c>
      <c r="J48">
        <v>67</v>
      </c>
      <c r="K48">
        <v>66</v>
      </c>
      <c r="L48">
        <v>373</v>
      </c>
      <c r="M48">
        <v>359</v>
      </c>
      <c r="N48">
        <v>408</v>
      </c>
      <c r="O48">
        <v>403</v>
      </c>
      <c r="P48">
        <v>61.061758542644803</v>
      </c>
      <c r="Q48">
        <v>42.207584779999998</v>
      </c>
      <c r="R48">
        <v>220.37437266234801</v>
      </c>
      <c r="S48">
        <v>210.526788467709</v>
      </c>
    </row>
    <row r="49" spans="1:19" x14ac:dyDescent="0.25">
      <c r="A49">
        <v>48</v>
      </c>
      <c r="B49">
        <v>36</v>
      </c>
      <c r="C49" t="s">
        <v>1</v>
      </c>
      <c r="D49" t="s">
        <v>2</v>
      </c>
      <c r="E49">
        <v>171.5</v>
      </c>
      <c r="F49" t="s">
        <v>43</v>
      </c>
      <c r="G49">
        <v>240</v>
      </c>
      <c r="H49">
        <v>95</v>
      </c>
      <c r="I49">
        <v>96</v>
      </c>
      <c r="J49">
        <v>65</v>
      </c>
      <c r="K49">
        <v>62</v>
      </c>
      <c r="L49">
        <v>390</v>
      </c>
      <c r="M49">
        <v>406</v>
      </c>
      <c r="N49">
        <v>417</v>
      </c>
      <c r="O49">
        <v>410</v>
      </c>
      <c r="P49">
        <v>68.4202597262979</v>
      </c>
      <c r="Q49">
        <v>46.601716680000003</v>
      </c>
      <c r="R49">
        <v>199.39890956476299</v>
      </c>
      <c r="S49">
        <v>208.982303831894</v>
      </c>
    </row>
    <row r="50" spans="1:19" x14ac:dyDescent="0.25">
      <c r="A50">
        <v>49</v>
      </c>
      <c r="B50">
        <v>68</v>
      </c>
      <c r="C50" t="s">
        <v>1</v>
      </c>
      <c r="D50" t="s">
        <v>2</v>
      </c>
      <c r="E50">
        <v>174.5</v>
      </c>
      <c r="F50" t="s">
        <v>44</v>
      </c>
      <c r="G50">
        <v>253</v>
      </c>
      <c r="H50">
        <v>105</v>
      </c>
      <c r="I50">
        <v>103</v>
      </c>
      <c r="J50">
        <v>76</v>
      </c>
      <c r="K50">
        <v>75</v>
      </c>
      <c r="L50">
        <v>387</v>
      </c>
      <c r="M50">
        <v>386</v>
      </c>
      <c r="N50">
        <v>421</v>
      </c>
      <c r="O50">
        <v>429</v>
      </c>
      <c r="P50">
        <v>80.633207153808499</v>
      </c>
      <c r="Q50">
        <v>47.345980490000002</v>
      </c>
      <c r="R50">
        <v>224.446900004497</v>
      </c>
      <c r="S50">
        <v>218.449016890519</v>
      </c>
    </row>
    <row r="51" spans="1:19" x14ac:dyDescent="0.25">
      <c r="A51">
        <v>50</v>
      </c>
      <c r="B51">
        <v>34</v>
      </c>
      <c r="C51" t="s">
        <v>1</v>
      </c>
      <c r="D51" t="s">
        <v>2</v>
      </c>
      <c r="E51">
        <v>174.2</v>
      </c>
      <c r="F51" t="s">
        <v>45</v>
      </c>
      <c r="G51">
        <v>239</v>
      </c>
      <c r="H51">
        <v>111</v>
      </c>
      <c r="I51">
        <v>111</v>
      </c>
      <c r="J51">
        <v>73</v>
      </c>
      <c r="K51">
        <v>72</v>
      </c>
      <c r="L51">
        <v>394</v>
      </c>
      <c r="M51">
        <v>388</v>
      </c>
      <c r="N51">
        <v>432</v>
      </c>
      <c r="O51">
        <v>431</v>
      </c>
      <c r="P51">
        <v>96.299047509172397</v>
      </c>
      <c r="Q51">
        <v>50.4916476</v>
      </c>
      <c r="R51">
        <v>250.52648253147601</v>
      </c>
      <c r="S51">
        <v>251.99527827291101</v>
      </c>
    </row>
    <row r="52" spans="1:19" x14ac:dyDescent="0.25">
      <c r="A52">
        <v>51</v>
      </c>
      <c r="B52">
        <v>25</v>
      </c>
      <c r="C52" t="s">
        <v>3</v>
      </c>
      <c r="D52" t="s">
        <v>2</v>
      </c>
      <c r="E52">
        <v>169.5</v>
      </c>
      <c r="F52" t="s">
        <v>46</v>
      </c>
      <c r="G52">
        <v>223</v>
      </c>
      <c r="H52">
        <v>96</v>
      </c>
      <c r="I52">
        <v>94</v>
      </c>
      <c r="J52">
        <v>63</v>
      </c>
      <c r="K52">
        <v>61</v>
      </c>
      <c r="L52">
        <v>399</v>
      </c>
      <c r="M52">
        <v>399</v>
      </c>
      <c r="N52">
        <v>409</v>
      </c>
      <c r="O52">
        <v>409</v>
      </c>
      <c r="P52">
        <v>65.733442413113394</v>
      </c>
      <c r="Q52">
        <v>44.100548660000001</v>
      </c>
      <c r="R52">
        <v>221.11614374969699</v>
      </c>
      <c r="S52">
        <v>214.39734870085101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wksadmin</dc:creator>
  <cp:lastModifiedBy>Jere Lavikainen</cp:lastModifiedBy>
  <dcterms:created xsi:type="dcterms:W3CDTF">2022-11-01T12:18:29Z</dcterms:created>
  <dcterms:modified xsi:type="dcterms:W3CDTF">2023-10-18T07:26:35Z</dcterms:modified>
</cp:coreProperties>
</file>